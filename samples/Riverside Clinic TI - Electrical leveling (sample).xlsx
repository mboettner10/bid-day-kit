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eveling" sheetId="2" state="visible" r:id="rId2"/>
    <sheet xmlns:r="http://schemas.openxmlformats.org/officeDocument/2006/relationships" name="Questions" sheetId="3" state="visible" r:id="rId3"/>
    <sheet xmlns:r="http://schemas.openxmlformats.org/officeDocument/2006/relationships" name="Alternates &amp; allowan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;[Red]-&quot;$&quot;#,##0"/>
  </numFmts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555555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1F3B4D"/>
      </patternFill>
    </fill>
    <fill>
      <patternFill patternType="solid">
        <fgColor rgb="00D9E2E8"/>
      </patternFill>
    </fill>
    <fill>
      <patternFill patternType="solid">
        <fgColor rgb="00DCEFE3"/>
      </patternFill>
    </fill>
    <fill>
      <patternFill patternType="solid">
        <fgColor rgb="00F6D5D5"/>
      </patternFill>
    </fill>
    <fill>
      <patternFill patternType="solid">
        <fgColor rgb="00EDEDED"/>
      </patternFill>
    </fill>
    <fill>
      <patternFill patternType="solid">
        <fgColor rgb="00FBEBCB"/>
      </patternFill>
    </fill>
  </fills>
  <borders count="2">
    <border>
      <left/>
      <right/>
      <top/>
      <bottom/>
      <diagonal/>
    </border>
    <border>
      <left style="thin">
        <color rgb="00BFC7CC"/>
      </left>
      <right style="thin">
        <color rgb="00BFC7CC"/>
      </right>
      <top style="thin">
        <color rgb="00BFC7CC"/>
      </top>
      <bottom style="thin">
        <color rgb="00BFC7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pivotButton="0" quotePrefix="0" xfId="0"/>
    <xf numFmtId="164" fontId="0" fillId="0" borderId="1" pivotButton="0" quotePrefix="0" xfId="0"/>
    <xf numFmtId="0" fontId="2" fillId="0" borderId="0" pivotButton="0" quotePrefix="0" xfId="0"/>
    <xf numFmtId="0" fontId="4" fillId="3" borderId="0" pivotButton="0" quotePrefix="0" xfId="0"/>
    <xf numFmtId="0" fontId="0" fillId="3" borderId="0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4" fillId="0" borderId="0" pivotButton="0" quotePrefix="0" xfId="0"/>
    <xf numFmtId="0" fontId="0" fillId="0" borderId="0" applyAlignment="1" pivotButton="0" quotePrefix="0" xfId="0">
      <alignment wrapText="1"/>
    </xf>
    <xf numFmtId="164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DCEFE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Bid Day Kit</author>
  </authors>
  <commentList>
    <comment ref="D6" authorId="0" shapeId="0">
      <text>
        <t>"Electrical permit and inspection fees" (p. 1)</t>
      </text>
    </comment>
    <comment ref="F6" authorId="0" shapeId="0">
      <text>
        <t>"Permit fees (will be billed at cost)" (p. 1)
Note: Billed at cost on top of the bid</t>
      </text>
    </comment>
    <comment ref="H6" authorId="0" shapeId="0">
      <text>
        <t>"including permits" (p. 1)</t>
      </text>
    </comment>
    <comment ref="D7" authorId="0" shapeId="0">
      <text>
        <t>"Bond (add 1.5% if required)" (p. 1)
Note: About $2,800 if a bond is required</t>
      </text>
    </comment>
    <comment ref="H7" authorId="0" shapeId="0">
      <text>
        <t>"Payment and performance bond included" (p. 1)</t>
      </text>
    </comment>
    <comment ref="H8" authorId="0" shapeId="0">
      <text>
        <t>"(prevailing wage rates)" (p. 1)</t>
      </text>
    </comment>
    <comment ref="D9" authorId="0" shapeId="0">
      <text>
        <t>"Overtime or off-hours work" (p. 1)</t>
      </text>
    </comment>
    <comment ref="F9" authorId="0" shapeId="0">
      <text>
        <t>"Overtime" (p. 1)</t>
      </text>
    </comment>
    <comment ref="D11" authorId="0" shapeId="0">
      <text>
        <t>"Cleanup of our own debris to GC dumpster" (p. 1)
Note: Own debris only; dumpster by GC</t>
      </text>
    </comment>
    <comment ref="F11" authorId="0" shapeId="0">
      <text>
        <t>"Trash removal" (p. 1)</t>
      </text>
    </comment>
    <comment ref="F12" authorId="0" shapeId="0">
      <text>
        <t>"Scissor lift included" (p. 1)</t>
      </text>
    </comment>
    <comment ref="D13" authorId="0" shapeId="0">
      <text>
        <t>"Shop drawings and submittals" (p. 1)</t>
      </text>
    </comment>
    <comment ref="H14" authorId="0" shapeId="0">
      <text>
        <t>"as-built drawings and O&amp;M manuals" (p. 1)</t>
      </text>
    </comment>
    <comment ref="D15" authorId="0" shapeId="0">
      <text>
        <t>"One-year warranty on labor and material" (p. 1)</t>
      </text>
    </comment>
    <comment ref="F15" authorId="0" shapeId="0">
      <text>
        <t>"Warranty on third-party or owner furnished equipment" (p. 1)
Note: Excludes warranty on others' equipment; no warranty term stated for their own work</t>
      </text>
    </comment>
    <comment ref="D17" authorId="0" shapeId="0">
      <text>
        <t>"Temporay power and lighting (by GC)" (p. 1)</t>
      </text>
    </comment>
    <comment ref="F17" authorId="0" shapeId="0">
      <text>
        <t>"Temporary power and lighting for construction included for duration of 10 weeks" (p. 1)
Note: Limited to 10 weeks</t>
      </text>
    </comment>
    <comment ref="H17" authorId="0" shapeId="0">
      <text>
        <t>"temporary power and lighting" (p. 1)</t>
      </text>
    </comment>
    <comment ref="F18" authorId="0" shapeId="0">
      <text>
        <t>"energy usage by others" (p. 1)</t>
      </text>
    </comment>
    <comment ref="D20" authorId="0" shapeId="0">
      <text>
        <t>"Utility co. charges, fees, or aid to construction" (p. 1)</t>
      </text>
    </comment>
    <comment ref="F20" authorId="0" shapeId="0">
      <text>
        <t>"Utility company charges and government tariffs, taxes or fees" (p. 1)</t>
      </text>
    </comment>
    <comment ref="F21" authorId="0" shapeId="0">
      <text>
        <t>"Assumes existing 800A service is adequate; no service upgrade included" (p. 1)</t>
      </text>
    </comment>
    <comment ref="D23" authorId="0" shapeId="0">
      <text>
        <t>"New 400A panelboards LP-1 and LP-2" (p. 1)</t>
      </text>
    </comment>
    <comment ref="F23" authorId="0" shapeId="0">
      <text>
        <t>"panelboards and transformer" (p. 1)</t>
      </text>
    </comment>
    <comment ref="H23" authorId="0" shapeId="0">
      <text>
        <t>"panelboards" (p. 1)</t>
      </text>
    </comment>
    <comment ref="D24" authorId="0" shapeId="0">
      <text>
        <t>"75 kVA dry-type transformer" (p. 1)</t>
      </text>
    </comment>
    <comment ref="F24" authorId="0" shapeId="0">
      <text>
        <t>"panelboards and transformer" (p. 1)</t>
      </text>
    </comment>
    <comment ref="H24" authorId="0" shapeId="0">
      <text>
        <t>"transformer" (p. 1)</t>
      </text>
    </comment>
    <comment ref="D25" authorId="0" shapeId="0">
      <text>
        <t>"Grounding and bonding per NEC" (p. 1)</t>
      </text>
    </comment>
    <comment ref="F25" authorId="0" shapeId="0">
      <text>
        <t>"grounding" (p. 1)</t>
      </text>
    </comment>
    <comment ref="D29" authorId="0" shapeId="0">
      <text>
        <t>"Branch circuit wiring, receptacles and devices" (p. 1)</t>
      </text>
    </comment>
    <comment ref="F29" authorId="0" shapeId="0">
      <text>
        <t>"branch wiring and devices" (p. 1)</t>
      </text>
    </comment>
    <comment ref="H29" authorId="0" shapeId="0">
      <text>
        <t>"branch circuits and devices" (p. 1)</t>
      </text>
    </comment>
    <comment ref="D30" authorId="0" shapeId="0">
      <text>
        <t>"Mechanical equipment connections" (p. 1)</t>
      </text>
    </comment>
    <comment ref="F30" authorId="0" shapeId="0">
      <text>
        <t>"connections to HVAC and plumbing equipment" (p. 1)</t>
      </text>
    </comment>
    <comment ref="H30" authorId="0" shapeId="0">
      <text>
        <t>"mechanical connections" (p. 1)</t>
      </text>
    </comment>
    <comment ref="D31" authorId="0" shapeId="0">
      <text>
        <t>"VFDs furnished by mechanical, installed and wired by Brightline" (p. 1)
Note: Install and wire only</t>
      </text>
    </comment>
    <comment ref="D32" authorId="0" shapeId="0">
      <text>
        <t>"Owner furnished equipment connections not shown on E-sheets" (p. 1)
Note: Excluded only if not shown on the E-sheets</t>
      </text>
    </comment>
    <comment ref="D34" authorId="0" shapeId="0">
      <text>
        <t>"Alternate 1: Add EV charger rough-in for 4 stalls: add $9,800" (p. 1)
Note: Only as an alternate, not in the base bid</t>
      </text>
    </comment>
    <comment ref="D36" authorId="0" shapeId="0">
      <text>
        <t>"Light fixtures furnished and installed per fixture schedule" (p. 1)</t>
      </text>
    </comment>
    <comment ref="F36" authorId="0" shapeId="0">
      <text>
        <t>"fixtures provided via an allowance of $38,000 included in the lump sum" (p. 1)
Note: Allowance, not a firm fixture price</t>
      </text>
    </comment>
    <comment ref="H36" authorId="0" shapeId="0">
      <text>
        <t>"fixtures furnished and installed" (p. 1)</t>
      </text>
    </comment>
    <comment ref="D37" authorId="0" shapeId="0">
      <text>
        <t>"Light fixtures furnished and installed per fixture schedule" (p. 1)</t>
      </text>
    </comment>
    <comment ref="F37" authorId="0" shapeId="0">
      <text>
        <t>"installation of light fixtures" (p. 1)</t>
      </text>
    </comment>
    <comment ref="H37" authorId="0" shapeId="0">
      <text>
        <t>"fixtures furnished and installed" (p. 1)</t>
      </text>
    </comment>
    <comment ref="D38" authorId="0" shapeId="0">
      <text>
        <t>"Lighting controls and occupancy sensors per plans" (p. 1)</t>
      </text>
    </comment>
    <comment ref="F38" authorId="0" shapeId="0">
      <text>
        <t>"lighting controls" (p. 1)</t>
      </text>
    </comment>
    <comment ref="H38" authorId="0" shapeId="0">
      <text>
        <t>"lighting controls" (p. 1)</t>
      </text>
    </comment>
    <comment ref="D39" authorId="0" shapeId="0">
      <text>
        <t>"Emergency and exit lighting" (p. 1)</t>
      </text>
    </comment>
    <comment ref="F39" authorId="0" shapeId="0">
      <text>
        <t>"exit and emergency lights" (p. 1)</t>
      </text>
    </comment>
    <comment ref="H39" authorId="0" shapeId="0">
      <text>
        <t>"emergency lighting" (p. 1)</t>
      </text>
    </comment>
    <comment ref="D43" authorId="0" shapeId="0">
      <text>
        <t>"Trenching, excavation, backfill" (p. 1)</t>
      </text>
    </comment>
    <comment ref="F43" authorId="0" shapeId="0">
      <text>
        <t>"Concrete, saw cutting or excavation" (p. 1)</t>
      </text>
    </comment>
    <comment ref="D45" authorId="0" shapeId="0">
      <text>
        <t>"Concrete pads, housekeeping pads, encasement" (p. 1)</t>
      </text>
    </comment>
    <comment ref="D46" authorId="0" shapeId="0">
      <text>
        <t>"Cutting, patching &amp; painting" (p. 1)</t>
      </text>
    </comment>
    <comment ref="F46" authorId="0" shapeId="0">
      <text>
        <t>"Concrete, saw cutting or excavation" (p. 1)</t>
      </text>
    </comment>
    <comment ref="H46" authorId="0" shapeId="0">
      <text>
        <t>"Patching and painting" (p. 1)</t>
      </text>
    </comment>
    <comment ref="D49" authorId="0" shapeId="0">
      <text>
        <t>"Fire alarm system design, permit and installation, including devices and panel" (p. 1)</t>
      </text>
    </comment>
    <comment ref="F49" authorId="0" shapeId="0">
      <text>
        <t>"Fire alarm: devices and wiring only; panel, programming and monitoring by others" (p. 1)</t>
      </text>
    </comment>
    <comment ref="H49" authorId="0" shapeId="0">
      <text>
        <t>"complete fire alarm system" (p. 1)</t>
      </text>
    </comment>
    <comment ref="F50" authorId="0" shapeId="0">
      <text>
        <t>"panel, programming and monitoring by others" (p. 1)</t>
      </text>
    </comment>
    <comment ref="H50" authorId="0" shapeId="0">
      <text>
        <t>"with monitoring for the first year" (p. 1)
Note: First year only</t>
      </text>
    </comment>
    <comment ref="D51" authorId="0" shapeId="0">
      <text>
        <t>"Data / telecom cabling &amp; terminations" (p. 1)</t>
      </text>
    </comment>
    <comment ref="F51" authorId="0" shapeId="0">
      <text>
        <t>"Low voltage, data, security, sound, CCTV, CATV, energy management" (p. 1)</t>
      </text>
    </comment>
    <comment ref="H51" authorId="0" shapeId="0">
      <text>
        <t>"structured data cabling (Cat6, 64 drops, tested and labeled)" (p. 1)
Note: 64 drops; extra drops $185 each</t>
      </text>
    </comment>
    <comment ref="D52" authorId="0" shapeId="0">
      <text>
        <t>"boxes, conduit stubbed above ceiling with pull string" (p. 1)</t>
      </text>
    </comment>
    <comment ref="F52" authorId="0" shapeId="0">
      <text>
        <t>Note: 'Low voltage' is excluded, but it's unclear whether empty conduit and boxes for low voltage are included</t>
      </text>
    </comment>
    <comment ref="D53" authorId="0" shapeId="0">
      <text>
        <t>"Security, access control, CCTV" (p. 1)</t>
      </text>
    </comment>
    <comment ref="F53" authorId="0" shapeId="0">
      <text>
        <t>"Low voltage, data, security, sound, CCTV, CATV, energy management" (p. 1)</t>
      </text>
    </comment>
    <comment ref="H53" authorId="0" shapeId="0">
      <text>
        <t>"Access control and CCTV" (p. 1)</t>
      </text>
    </comment>
    <comment ref="D54" authorId="0" shapeId="0">
      <text>
        <t>"Security, access control, CCTV" (p. 1)</t>
      </text>
    </comment>
    <comment ref="F54" authorId="0" shapeId="0">
      <text>
        <t>"Low voltage, data, security, sound, CCTV, CATV, energy management" (p. 1)</t>
      </text>
    </comment>
    <comment ref="H54" authorId="0" shapeId="0">
      <text>
        <t>"Access control and CCTV" (p. 1)</t>
      </text>
    </comment>
    <comment ref="F55" authorId="0" shapeId="0">
      <text>
        <t>"Low voltage, data, security, sound, CCTV, CATV, energy management" (p. 1)</t>
      </text>
    </comment>
    <comment ref="D57" authorId="0" shapeId="0">
      <text>
        <t>"Fire caulking / firestoping" (p. 1)</t>
      </text>
    </comment>
    <comment ref="F57" authorId="0" shapeId="0">
      <text>
        <t>"Firestopping of our penetrations included" (p. 1)</t>
      </text>
    </comment>
    <comment ref="H57" authorId="0" shapeId="0">
      <text>
        <t>"firestopping" (p. 1)</t>
      </text>
    </comment>
    <comment ref="D58" authorId="0" shapeId="0">
      <text>
        <t>"Seismic bracing / engineering" (p. 1)</t>
      </text>
    </comment>
    <comment ref="D59" authorId="0" shapeId="0">
      <text>
        <t>"Roof penetrations and flashing" (p. 1)</t>
      </text>
    </comment>
    <comment ref="F59" authorId="0" shapeId="0">
      <text>
        <t>"Rooftop penetrations" (p. 1)</t>
      </text>
    </comment>
    <comment ref="H60" authorId="0" shapeId="0">
      <text>
        <t>"Demolition of existing electrical beyond make-safe (make-safe included)" (p. 1)</t>
      </text>
    </comment>
    <comment ref="D61" authorId="0" shapeId="0">
      <text>
        <t>"Cutting, patching &amp; painting" (p. 1)</t>
      </text>
    </comment>
    <comment ref="H61" authorId="0" shapeId="0">
      <text>
        <t>"Patching and painting" (p. 1)</t>
      </text>
    </comment>
    <comment ref="D62" authorId="0" shapeId="0">
      <text>
        <t>"Access panels" (p. 1)</t>
      </text>
    </comment>
    <comment ref="H63" authorId="0" shapeId="0">
      <text>
        <t>"testing" (p. 1)</t>
      </text>
    </comment>
    <comment ref="D64" authorId="0" shapeId="0">
      <text>
        <t>"Arc flash / short circuit / coordination study" (p. 1)</t>
      </text>
    </comment>
    <comment ref="H65" authorId="0" shapeId="0">
      <text>
        <t>"owner training (2 hours)" (p. 1)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1" customWidth="1" min="3" max="3"/>
    <col width="14" customWidth="1" min="4" max="4"/>
    <col width="16" customWidth="1" min="5" max="5"/>
    <col width="15" customWidth="1" min="6" max="6"/>
    <col width="10" customWidth="1" min="7" max="7"/>
    <col width="14" customWidth="1" min="8" max="8"/>
    <col width="10" customWidth="1" min="9" max="9"/>
  </cols>
  <sheetData>
    <row r="1">
      <c r="A1" s="1" t="inlineStr">
        <is>
          <t>Riverside Clinic TI (sample) - Electrical bid leveling</t>
        </is>
      </c>
    </row>
    <row r="2">
      <c r="A2" t="inlineStr">
        <is>
          <t>Bids due 2026-11-04</t>
        </is>
      </c>
    </row>
    <row r="4" ht="34" customHeight="1">
      <c r="A4" s="2" t="inlineStr">
        <is>
          <t>Bidder</t>
        </is>
      </c>
      <c r="B4" s="2" t="inlineStr">
        <is>
          <t>Quote date</t>
        </is>
      </c>
      <c r="C4" s="2" t="inlineStr">
        <is>
          <t>Valid (days)</t>
        </is>
      </c>
      <c r="D4" s="2" t="inlineStr">
        <is>
          <t>Base price</t>
        </is>
      </c>
      <c r="E4" s="2" t="inlineStr">
        <is>
          <t>Your adjustments</t>
        </is>
      </c>
      <c r="F4" s="2" t="inlineStr">
        <is>
          <t>Adjusted total</t>
        </is>
      </c>
      <c r="G4" s="2" t="inlineStr">
        <is>
          <t>Excluded</t>
        </is>
      </c>
      <c r="H4" s="2" t="inlineStr">
        <is>
          <t>Not mentioned</t>
        </is>
      </c>
      <c r="I4" s="2" t="inlineStr">
        <is>
          <t>Qualified</t>
        </is>
      </c>
    </row>
    <row r="5">
      <c r="A5" s="3" t="inlineStr">
        <is>
          <t>Brightline Electric</t>
        </is>
      </c>
      <c r="B5" s="3" t="inlineStr">
        <is>
          <t>2026-10-27</t>
        </is>
      </c>
      <c r="C5" s="3" t="n">
        <v>30</v>
      </c>
      <c r="D5" s="4" t="n">
        <v>186400</v>
      </c>
      <c r="E5" s="4">
        <f>SUM(Leveling!E5:E65)</f>
        <v/>
      </c>
      <c r="F5" s="4">
        <f>IF(D5="","",D5+E5)</f>
        <v/>
      </c>
      <c r="G5" s="3">
        <f>COUNTIFS(Leveling!D5:D65,"Excluded",Leveling!$C$5:$C$65,"Y")</f>
        <v/>
      </c>
      <c r="H5" s="3">
        <f>COUNTIFS(Leveling!D5:D65,"Not mentioned",Leveling!$C$5:$C$65,"Y")</f>
        <v/>
      </c>
      <c r="I5" s="3">
        <f>COUNTIFS(Leveling!D5:D65,"Qualified",Leveling!$C$5:$C$65,"Y")</f>
        <v/>
      </c>
    </row>
    <row r="6">
      <c r="A6" s="3" t="inlineStr">
        <is>
          <t>Keystone Power &amp; Light</t>
        </is>
      </c>
      <c r="B6" s="3" t="inlineStr">
        <is>
          <t>2026-10-29</t>
        </is>
      </c>
      <c r="C6" s="3" t="n">
        <v>45</v>
      </c>
      <c r="D6" s="4" t="n">
        <v>171250</v>
      </c>
      <c r="E6" s="4">
        <f>SUM(Leveling!G5:G65)</f>
        <v/>
      </c>
      <c r="F6" s="4">
        <f>IF(D6="","",D6+E6)</f>
        <v/>
      </c>
      <c r="G6" s="3">
        <f>COUNTIFS(Leveling!F5:F65,"Excluded",Leveling!$C$5:$C$65,"Y")</f>
        <v/>
      </c>
      <c r="H6" s="3">
        <f>COUNTIFS(Leveling!F5:F65,"Not mentioned",Leveling!$C$5:$C$65,"Y")</f>
        <v/>
      </c>
      <c r="I6" s="3">
        <f>COUNTIFS(Leveling!F5:F65,"Qualified",Leveling!$C$5:$C$65,"Y")</f>
        <v/>
      </c>
    </row>
    <row r="7">
      <c r="A7" s="3" t="inlineStr">
        <is>
          <t>Summit Electrical</t>
        </is>
      </c>
      <c r="B7" s="3" t="inlineStr">
        <is>
          <t>2026-10-30</t>
        </is>
      </c>
      <c r="C7" s="3" t="n"/>
      <c r="D7" s="4" t="n">
        <v>198900</v>
      </c>
      <c r="E7" s="4">
        <f>SUM(Leveling!I5:I65)</f>
        <v/>
      </c>
      <c r="F7" s="4">
        <f>IF(D7="","",D7+E7)</f>
        <v/>
      </c>
      <c r="G7" s="3">
        <f>COUNTIFS(Leveling!H5:H65,"Excluded",Leveling!$C$5:$C$65,"Y")</f>
        <v/>
      </c>
      <c r="H7" s="3">
        <f>COUNTIFS(Leveling!H5:H65,"Not mentioned",Leveling!$C$5:$C$65,"Y")</f>
        <v/>
      </c>
      <c r="I7" s="3">
        <f>COUNTIFS(Leveling!H5:H65,"Qualified",Leveling!$C$5:$C$65,"Y")</f>
        <v/>
      </c>
    </row>
    <row r="9">
      <c r="A9" s="5" t="inlineStr">
        <is>
          <t>Adjusted total = base price + your adjustments for gaps. The lowest adjusted total is shaded; it is a comparison aid, not a recommendation.</t>
        </is>
      </c>
    </row>
  </sheetData>
  <conditionalFormatting sqref="F5:F7">
    <cfRule type="expression" priority="1" dxfId="0">
      <formula>AND(F5&lt;&gt;"",F5=MIN($F$5:$F$7))</formula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74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8" customWidth="1" min="2" max="2"/>
    <col width="11" customWidth="1" min="3" max="3"/>
    <col width="18" customWidth="1" min="4" max="4"/>
    <col width="14" customWidth="1" min="5" max="5"/>
    <col width="18" customWidth="1" min="6" max="6"/>
    <col width="14" customWidth="1" min="7" max="7"/>
    <col width="18" customWidth="1" min="8" max="8"/>
    <col width="14" customWidth="1" min="9" max="9"/>
  </cols>
  <sheetData>
    <row r="1">
      <c r="A1" s="1" t="inlineStr">
        <is>
          <t>Riverside Clinic TI (sample) - Electrical bid leveling</t>
        </is>
      </c>
    </row>
    <row r="2">
      <c r="A2" s="5" t="inlineStr">
        <is>
          <t>Status comes from each quote's wording (hover a cell to see it). Set Applies to N for items not on this job. Enter your own cost in the Adjustment $ column for any gap you want to carry.</t>
        </is>
      </c>
    </row>
    <row r="4" ht="34" customHeight="1">
      <c r="A4" s="2" t="inlineStr">
        <is>
          <t>ID</t>
        </is>
      </c>
      <c r="B4" s="2" t="inlineStr">
        <is>
          <t>Scope item</t>
        </is>
      </c>
      <c r="C4" s="2" t="inlineStr">
        <is>
          <t>Applies to this job?</t>
        </is>
      </c>
      <c r="D4" s="2" t="inlineStr">
        <is>
          <t>Brightline Electric</t>
        </is>
      </c>
      <c r="E4" s="2" t="inlineStr">
        <is>
          <t>Adjustment $</t>
        </is>
      </c>
      <c r="F4" s="2" t="inlineStr">
        <is>
          <t>Keystone Power &amp; Light</t>
        </is>
      </c>
      <c r="G4" s="2" t="inlineStr">
        <is>
          <t>Adjustment $</t>
        </is>
      </c>
      <c r="H4" s="2" t="inlineStr">
        <is>
          <t>Summit Electrical</t>
        </is>
      </c>
      <c r="I4" s="2" t="inlineStr">
        <is>
          <t>Adjustment $</t>
        </is>
      </c>
    </row>
    <row r="5">
      <c r="A5" s="6" t="inlineStr">
        <is>
          <t>General conditions</t>
        </is>
      </c>
      <c r="B5" s="7" t="n"/>
      <c r="C5" s="7" t="n"/>
      <c r="D5" s="7" t="n"/>
      <c r="E5" s="7" t="n"/>
      <c r="F5" s="7" t="n"/>
      <c r="G5" s="7" t="n"/>
      <c r="H5" s="7" t="n"/>
      <c r="I5" s="7" t="n"/>
    </row>
    <row r="6">
      <c r="A6" s="3" t="inlineStr">
        <is>
          <t>E01</t>
        </is>
      </c>
      <c r="B6" s="3" t="inlineStr">
        <is>
          <t>Electrical permits and inspection fees</t>
        </is>
      </c>
      <c r="C6" s="3" t="inlineStr">
        <is>
          <t>Y</t>
        </is>
      </c>
      <c r="D6" s="8" t="inlineStr">
        <is>
          <t>Included</t>
        </is>
      </c>
      <c r="E6" s="4" t="n"/>
      <c r="F6" s="9" t="inlineStr">
        <is>
          <t>Excluded</t>
        </is>
      </c>
      <c r="G6" s="4" t="n"/>
      <c r="H6" s="8" t="inlineStr">
        <is>
          <t>Included</t>
        </is>
      </c>
      <c r="I6" s="4" t="n"/>
    </row>
    <row r="7">
      <c r="A7" s="3" t="inlineStr">
        <is>
          <t>E02</t>
        </is>
      </c>
      <c r="B7" s="3" t="inlineStr">
        <is>
          <t>Payment and performance bond</t>
        </is>
      </c>
      <c r="C7" s="3" t="inlineStr">
        <is>
          <t>Y</t>
        </is>
      </c>
      <c r="D7" s="9" t="inlineStr">
        <is>
          <t>Excluded</t>
        </is>
      </c>
      <c r="E7" s="4" t="n"/>
      <c r="F7" s="10" t="inlineStr">
        <is>
          <t>Not mentioned</t>
        </is>
      </c>
      <c r="G7" s="4" t="n"/>
      <c r="H7" s="8" t="inlineStr">
        <is>
          <t>Included</t>
        </is>
      </c>
      <c r="I7" s="4" t="n"/>
    </row>
    <row r="8">
      <c r="A8" s="3" t="inlineStr">
        <is>
          <t>E03</t>
        </is>
      </c>
      <c r="B8" s="3" t="inlineStr">
        <is>
          <t>Prevailing wage / union labor</t>
        </is>
      </c>
      <c r="C8" s="3" t="inlineStr">
        <is>
          <t>Y</t>
        </is>
      </c>
      <c r="D8" s="10" t="inlineStr">
        <is>
          <t>Not mentioned</t>
        </is>
      </c>
      <c r="E8" s="4" t="n"/>
      <c r="F8" s="10" t="inlineStr">
        <is>
          <t>Not mentioned</t>
        </is>
      </c>
      <c r="G8" s="4" t="n"/>
      <c r="H8" s="8" t="inlineStr">
        <is>
          <t>Included</t>
        </is>
      </c>
      <c r="I8" s="4" t="n"/>
    </row>
    <row r="9">
      <c r="A9" s="3" t="inlineStr">
        <is>
          <t>E04</t>
        </is>
      </c>
      <c r="B9" s="3" t="inlineStr">
        <is>
          <t>Overtime or off-hours work</t>
        </is>
      </c>
      <c r="C9" s="3" t="inlineStr">
        <is>
          <t>Y</t>
        </is>
      </c>
      <c r="D9" s="9" t="inlineStr">
        <is>
          <t>Excluded</t>
        </is>
      </c>
      <c r="E9" s="4" t="n"/>
      <c r="F9" s="9" t="inlineStr">
        <is>
          <t>Excluded</t>
        </is>
      </c>
      <c r="G9" s="4" t="n"/>
      <c r="H9" s="10" t="inlineStr">
        <is>
          <t>Not mentioned</t>
        </is>
      </c>
      <c r="I9" s="4" t="n"/>
    </row>
    <row r="10">
      <c r="A10" s="3" t="inlineStr">
        <is>
          <t>E05</t>
        </is>
      </c>
      <c r="B10" s="3" t="inlineStr">
        <is>
          <t>Supervision / foreman on site</t>
        </is>
      </c>
      <c r="C10" s="3" t="inlineStr">
        <is>
          <t>Y</t>
        </is>
      </c>
      <c r="D10" s="10" t="inlineStr">
        <is>
          <t>Not mentioned</t>
        </is>
      </c>
      <c r="E10" s="4" t="n"/>
      <c r="F10" s="10" t="inlineStr">
        <is>
          <t>Not mentioned</t>
        </is>
      </c>
      <c r="G10" s="4" t="n"/>
      <c r="H10" s="10" t="inlineStr">
        <is>
          <t>Not mentioned</t>
        </is>
      </c>
      <c r="I10" s="4" t="n"/>
    </row>
    <row r="11">
      <c r="A11" s="3" t="inlineStr">
        <is>
          <t>E06</t>
        </is>
      </c>
      <c r="B11" s="3" t="inlineStr">
        <is>
          <t>Cleanup and debris removal</t>
        </is>
      </c>
      <c r="C11" s="3" t="inlineStr">
        <is>
          <t>Y</t>
        </is>
      </c>
      <c r="D11" s="11" t="inlineStr">
        <is>
          <t>Qualified</t>
        </is>
      </c>
      <c r="E11" s="4" t="n"/>
      <c r="F11" s="9" t="inlineStr">
        <is>
          <t>Excluded</t>
        </is>
      </c>
      <c r="G11" s="4" t="n"/>
      <c r="H11" s="10" t="inlineStr">
        <is>
          <t>Not mentioned</t>
        </is>
      </c>
      <c r="I11" s="4" t="n"/>
    </row>
    <row r="12">
      <c r="A12" s="3" t="inlineStr">
        <is>
          <t>E07</t>
        </is>
      </c>
      <c r="B12" s="3" t="inlineStr">
        <is>
          <t>Lifts and equipment rental</t>
        </is>
      </c>
      <c r="C12" s="3" t="inlineStr">
        <is>
          <t>Y</t>
        </is>
      </c>
      <c r="D12" s="10" t="inlineStr">
        <is>
          <t>Not mentioned</t>
        </is>
      </c>
      <c r="E12" s="4" t="n"/>
      <c r="F12" s="8" t="inlineStr">
        <is>
          <t>Included</t>
        </is>
      </c>
      <c r="G12" s="4" t="n"/>
      <c r="H12" s="10" t="inlineStr">
        <is>
          <t>Not mentioned</t>
        </is>
      </c>
      <c r="I12" s="4" t="n"/>
    </row>
    <row r="13">
      <c r="A13" s="3" t="inlineStr">
        <is>
          <t>E08</t>
        </is>
      </c>
      <c r="B13" s="3" t="inlineStr">
        <is>
          <t>Shop drawings and submittals</t>
        </is>
      </c>
      <c r="C13" s="3" t="inlineStr">
        <is>
          <t>Y</t>
        </is>
      </c>
      <c r="D13" s="8" t="inlineStr">
        <is>
          <t>Included</t>
        </is>
      </c>
      <c r="E13" s="4" t="n"/>
      <c r="F13" s="10" t="inlineStr">
        <is>
          <t>Not mentioned</t>
        </is>
      </c>
      <c r="G13" s="4" t="n"/>
      <c r="H13" s="10" t="inlineStr">
        <is>
          <t>Not mentioned</t>
        </is>
      </c>
      <c r="I13" s="4" t="n"/>
    </row>
    <row r="14">
      <c r="A14" s="3" t="inlineStr">
        <is>
          <t>E09</t>
        </is>
      </c>
      <c r="B14" s="3" t="inlineStr">
        <is>
          <t>As-built drawings and O&amp;M manuals</t>
        </is>
      </c>
      <c r="C14" s="3" t="inlineStr">
        <is>
          <t>Y</t>
        </is>
      </c>
      <c r="D14" s="10" t="inlineStr">
        <is>
          <t>Not mentioned</t>
        </is>
      </c>
      <c r="E14" s="4" t="n"/>
      <c r="F14" s="10" t="inlineStr">
        <is>
          <t>Not mentioned</t>
        </is>
      </c>
      <c r="G14" s="4" t="n"/>
      <c r="H14" s="8" t="inlineStr">
        <is>
          <t>Included</t>
        </is>
      </c>
      <c r="I14" s="4" t="n"/>
    </row>
    <row r="15">
      <c r="A15" s="3" t="inlineStr">
        <is>
          <t>E10</t>
        </is>
      </c>
      <c r="B15" s="3" t="inlineStr">
        <is>
          <t>Warranty (state length)</t>
        </is>
      </c>
      <c r="C15" s="3" t="inlineStr">
        <is>
          <t>Y</t>
        </is>
      </c>
      <c r="D15" s="8" t="inlineStr">
        <is>
          <t>Included</t>
        </is>
      </c>
      <c r="E15" s="4" t="n"/>
      <c r="F15" s="11" t="inlineStr">
        <is>
          <t>Qualified</t>
        </is>
      </c>
      <c r="G15" s="4" t="n"/>
      <c r="H15" s="10" t="inlineStr">
        <is>
          <t>Not mentioned</t>
        </is>
      </c>
      <c r="I15" s="4" t="n"/>
    </row>
    <row r="16">
      <c r="A16" s="6" t="inlineStr">
        <is>
          <t>Temporary power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</row>
    <row r="17">
      <c r="A17" s="3" t="inlineStr">
        <is>
          <t>E11</t>
        </is>
      </c>
      <c r="B17" s="3" t="inlineStr">
        <is>
          <t>Temporary power and lighting for construction</t>
        </is>
      </c>
      <c r="C17" s="3" t="inlineStr">
        <is>
          <t>Y</t>
        </is>
      </c>
      <c r="D17" s="9" t="inlineStr">
        <is>
          <t>Excluded</t>
        </is>
      </c>
      <c r="E17" s="4" t="n"/>
      <c r="F17" s="11" t="inlineStr">
        <is>
          <t>Qualified</t>
        </is>
      </c>
      <c r="G17" s="4" t="n"/>
      <c r="H17" s="8" t="inlineStr">
        <is>
          <t>Included</t>
        </is>
      </c>
      <c r="I17" s="4" t="n"/>
    </row>
    <row r="18">
      <c r="A18" s="3" t="inlineStr">
        <is>
          <t>E12</t>
        </is>
      </c>
      <c r="B18" s="3" t="inlineStr">
        <is>
          <t>Temporary power energy cost</t>
        </is>
      </c>
      <c r="C18" s="3" t="inlineStr">
        <is>
          <t>Y</t>
        </is>
      </c>
      <c r="D18" s="10" t="inlineStr">
        <is>
          <t>Not mentioned</t>
        </is>
      </c>
      <c r="E18" s="4" t="n"/>
      <c r="F18" s="9" t="inlineStr">
        <is>
          <t>Excluded</t>
        </is>
      </c>
      <c r="G18" s="4" t="n"/>
      <c r="H18" s="10" t="inlineStr">
        <is>
          <t>Not mentioned</t>
        </is>
      </c>
      <c r="I18" s="4" t="n"/>
    </row>
    <row r="19">
      <c r="A19" s="6" t="inlineStr">
        <is>
          <t>Service and distribution</t>
        </is>
      </c>
      <c r="B19" s="7" t="n"/>
      <c r="C19" s="7" t="n"/>
      <c r="D19" s="7" t="n"/>
      <c r="E19" s="7" t="n"/>
      <c r="F19" s="7" t="n"/>
      <c r="G19" s="7" t="n"/>
      <c r="H19" s="7" t="n"/>
      <c r="I19" s="7" t="n"/>
    </row>
    <row r="20">
      <c r="A20" s="3" t="inlineStr">
        <is>
          <t>E13</t>
        </is>
      </c>
      <c r="B20" s="3" t="inlineStr">
        <is>
          <t>Utility company fees and service connection</t>
        </is>
      </c>
      <c r="C20" s="3" t="inlineStr">
        <is>
          <t>N</t>
        </is>
      </c>
      <c r="D20" s="9" t="inlineStr">
        <is>
          <t>Excluded</t>
        </is>
      </c>
      <c r="E20" s="4" t="n"/>
      <c r="F20" s="9" t="inlineStr">
        <is>
          <t>Excluded</t>
        </is>
      </c>
      <c r="G20" s="4" t="n"/>
      <c r="H20" s="10" t="inlineStr">
        <is>
          <t>Not mentioned</t>
        </is>
      </c>
      <c r="I20" s="4" t="n"/>
    </row>
    <row r="21">
      <c r="A21" s="3" t="inlineStr">
        <is>
          <t>E14</t>
        </is>
      </c>
      <c r="B21" s="3" t="inlineStr">
        <is>
          <t>Main service entrance and switchgear</t>
        </is>
      </c>
      <c r="C21" s="3" t="inlineStr">
        <is>
          <t>Y</t>
        </is>
      </c>
      <c r="D21" s="10" t="inlineStr">
        <is>
          <t>Not mentioned</t>
        </is>
      </c>
      <c r="E21" s="4" t="n"/>
      <c r="F21" s="11" t="inlineStr">
        <is>
          <t>Qualified</t>
        </is>
      </c>
      <c r="G21" s="4" t="n"/>
      <c r="H21" s="10" t="inlineStr">
        <is>
          <t>Not mentioned</t>
        </is>
      </c>
      <c r="I21" s="4" t="n"/>
    </row>
    <row r="22">
      <c r="A22" s="3" t="inlineStr">
        <is>
          <t>E15</t>
        </is>
      </c>
      <c r="B22" s="3" t="inlineStr">
        <is>
          <t>Utility transformer pad and primary conduit</t>
        </is>
      </c>
      <c r="C22" s="3" t="inlineStr">
        <is>
          <t>N</t>
        </is>
      </c>
      <c r="D22" s="10" t="inlineStr">
        <is>
          <t>Not mentioned</t>
        </is>
      </c>
      <c r="E22" s="4" t="n"/>
      <c r="F22" s="10" t="inlineStr">
        <is>
          <t>Not mentioned</t>
        </is>
      </c>
      <c r="G22" s="4" t="n"/>
      <c r="H22" s="10" t="inlineStr">
        <is>
          <t>Not mentioned</t>
        </is>
      </c>
      <c r="I22" s="4" t="n"/>
    </row>
    <row r="23">
      <c r="A23" s="3" t="inlineStr">
        <is>
          <t>E16</t>
        </is>
      </c>
      <c r="B23" s="3" t="inlineStr">
        <is>
          <t>Panelboards</t>
        </is>
      </c>
      <c r="C23" s="3" t="inlineStr">
        <is>
          <t>Y</t>
        </is>
      </c>
      <c r="D23" s="8" t="inlineStr">
        <is>
          <t>Included</t>
        </is>
      </c>
      <c r="E23" s="4" t="n"/>
      <c r="F23" s="8" t="inlineStr">
        <is>
          <t>Included</t>
        </is>
      </c>
      <c r="G23" s="4" t="n"/>
      <c r="H23" s="8" t="inlineStr">
        <is>
          <t>Included</t>
        </is>
      </c>
      <c r="I23" s="4" t="n"/>
    </row>
    <row r="24">
      <c r="A24" s="3" t="inlineStr">
        <is>
          <t>E17</t>
        </is>
      </c>
      <c r="B24" s="3" t="inlineStr">
        <is>
          <t>Dry-type transformers</t>
        </is>
      </c>
      <c r="C24" s="3" t="inlineStr">
        <is>
          <t>Y</t>
        </is>
      </c>
      <c r="D24" s="8" t="inlineStr">
        <is>
          <t>Included</t>
        </is>
      </c>
      <c r="E24" s="4" t="n"/>
      <c r="F24" s="8" t="inlineStr">
        <is>
          <t>Included</t>
        </is>
      </c>
      <c r="G24" s="4" t="n"/>
      <c r="H24" s="8" t="inlineStr">
        <is>
          <t>Included</t>
        </is>
      </c>
      <c r="I24" s="4" t="n"/>
    </row>
    <row r="25">
      <c r="A25" s="3" t="inlineStr">
        <is>
          <t>E18</t>
        </is>
      </c>
      <c r="B25" s="3" t="inlineStr">
        <is>
          <t>Grounding and bonding</t>
        </is>
      </c>
      <c r="C25" s="3" t="inlineStr">
        <is>
          <t>Y</t>
        </is>
      </c>
      <c r="D25" s="8" t="inlineStr">
        <is>
          <t>Included</t>
        </is>
      </c>
      <c r="E25" s="4" t="n"/>
      <c r="F25" s="8" t="inlineStr">
        <is>
          <t>Included</t>
        </is>
      </c>
      <c r="G25" s="4" t="n"/>
      <c r="H25" s="10" t="inlineStr">
        <is>
          <t>Not mentioned</t>
        </is>
      </c>
      <c r="I25" s="4" t="n"/>
    </row>
    <row r="26">
      <c r="A26" s="3" t="inlineStr">
        <is>
          <t>E19</t>
        </is>
      </c>
      <c r="B26" s="3" t="inlineStr">
        <is>
          <t>Metering</t>
        </is>
      </c>
      <c r="C26" s="3" t="inlineStr">
        <is>
          <t>N</t>
        </is>
      </c>
      <c r="D26" s="10" t="inlineStr">
        <is>
          <t>Not mentioned</t>
        </is>
      </c>
      <c r="E26" s="4" t="n"/>
      <c r="F26" s="10" t="inlineStr">
        <is>
          <t>Not mentioned</t>
        </is>
      </c>
      <c r="G26" s="4" t="n"/>
      <c r="H26" s="10" t="inlineStr">
        <is>
          <t>Not mentioned</t>
        </is>
      </c>
      <c r="I26" s="4" t="n"/>
    </row>
    <row r="27">
      <c r="A27" s="3" t="inlineStr">
        <is>
          <t>E20</t>
        </is>
      </c>
      <c r="B27" s="3" t="inlineStr">
        <is>
          <t>Surge protection</t>
        </is>
      </c>
      <c r="C27" s="3" t="inlineStr">
        <is>
          <t>Y</t>
        </is>
      </c>
      <c r="D27" s="10" t="inlineStr">
        <is>
          <t>Not mentioned</t>
        </is>
      </c>
      <c r="E27" s="4" t="n"/>
      <c r="F27" s="10" t="inlineStr">
        <is>
          <t>Not mentioned</t>
        </is>
      </c>
      <c r="G27" s="4" t="n"/>
      <c r="H27" s="10" t="inlineStr">
        <is>
          <t>Not mentioned</t>
        </is>
      </c>
      <c r="I27" s="4" t="n"/>
    </row>
    <row r="28">
      <c r="A28" s="6" t="inlineStr">
        <is>
          <t>Power</t>
        </is>
      </c>
      <c r="B28" s="7" t="n"/>
      <c r="C28" s="7" t="n"/>
      <c r="D28" s="7" t="n"/>
      <c r="E28" s="7" t="n"/>
      <c r="F28" s="7" t="n"/>
      <c r="G28" s="7" t="n"/>
      <c r="H28" s="7" t="n"/>
      <c r="I28" s="7" t="n"/>
    </row>
    <row r="29">
      <c r="A29" s="3" t="inlineStr">
        <is>
          <t>E21</t>
        </is>
      </c>
      <c r="B29" s="3" t="inlineStr">
        <is>
          <t>Branch circuit wiring and devices</t>
        </is>
      </c>
      <c r="C29" s="3" t="inlineStr">
        <is>
          <t>Y</t>
        </is>
      </c>
      <c r="D29" s="8" t="inlineStr">
        <is>
          <t>Included</t>
        </is>
      </c>
      <c r="E29" s="4" t="n"/>
      <c r="F29" s="8" t="inlineStr">
        <is>
          <t>Included</t>
        </is>
      </c>
      <c r="G29" s="4" t="n"/>
      <c r="H29" s="8" t="inlineStr">
        <is>
          <t>Included</t>
        </is>
      </c>
      <c r="I29" s="4" t="n"/>
    </row>
    <row r="30">
      <c r="A30" s="3" t="inlineStr">
        <is>
          <t>E22</t>
        </is>
      </c>
      <c r="B30" s="3" t="inlineStr">
        <is>
          <t>Equipment connections (mechanical and plumbing)</t>
        </is>
      </c>
      <c r="C30" s="3" t="inlineStr">
        <is>
          <t>Y</t>
        </is>
      </c>
      <c r="D30" s="8" t="inlineStr">
        <is>
          <t>Included</t>
        </is>
      </c>
      <c r="E30" s="4" t="n"/>
      <c r="F30" s="8" t="inlineStr">
        <is>
          <t>Included</t>
        </is>
      </c>
      <c r="G30" s="4" t="n"/>
      <c r="H30" s="8" t="inlineStr">
        <is>
          <t>Included</t>
        </is>
      </c>
      <c r="I30" s="4" t="n"/>
    </row>
    <row r="31">
      <c r="A31" s="3" t="inlineStr">
        <is>
          <t>E23</t>
        </is>
      </c>
      <c r="B31" s="3" t="inlineStr">
        <is>
          <t>Motor starters and VFDs (furnish or install)</t>
        </is>
      </c>
      <c r="C31" s="3" t="inlineStr">
        <is>
          <t>Y</t>
        </is>
      </c>
      <c r="D31" s="11" t="inlineStr">
        <is>
          <t>Qualified</t>
        </is>
      </c>
      <c r="E31" s="4" t="n"/>
      <c r="F31" s="10" t="inlineStr">
        <is>
          <t>Not mentioned</t>
        </is>
      </c>
      <c r="G31" s="4" t="n"/>
      <c r="H31" s="10" t="inlineStr">
        <is>
          <t>Not mentioned</t>
        </is>
      </c>
      <c r="I31" s="4" t="n"/>
    </row>
    <row r="32">
      <c r="A32" s="3" t="inlineStr">
        <is>
          <t>E24</t>
        </is>
      </c>
      <c r="B32" s="3" t="inlineStr">
        <is>
          <t>Owner or kitchen equipment connections</t>
        </is>
      </c>
      <c r="C32" s="3" t="inlineStr">
        <is>
          <t>Y</t>
        </is>
      </c>
      <c r="D32" s="11" t="inlineStr">
        <is>
          <t>Qualified</t>
        </is>
      </c>
      <c r="E32" s="4" t="n"/>
      <c r="F32" s="10" t="inlineStr">
        <is>
          <t>Not mentioned</t>
        </is>
      </c>
      <c r="G32" s="4" t="n"/>
      <c r="H32" s="10" t="inlineStr">
        <is>
          <t>Not mentioned</t>
        </is>
      </c>
      <c r="I32" s="4" t="n"/>
    </row>
    <row r="33">
      <c r="A33" s="3" t="inlineStr">
        <is>
          <t>E25</t>
        </is>
      </c>
      <c r="B33" s="3" t="inlineStr">
        <is>
          <t>Generator and transfer switch</t>
        </is>
      </c>
      <c r="C33" s="3" t="inlineStr">
        <is>
          <t>N</t>
        </is>
      </c>
      <c r="D33" s="10" t="inlineStr">
        <is>
          <t>Not mentioned</t>
        </is>
      </c>
      <c r="E33" s="4" t="n"/>
      <c r="F33" s="10" t="inlineStr">
        <is>
          <t>Not mentioned</t>
        </is>
      </c>
      <c r="G33" s="4" t="n"/>
      <c r="H33" s="10" t="inlineStr">
        <is>
          <t>Not mentioned</t>
        </is>
      </c>
      <c r="I33" s="4" t="n"/>
    </row>
    <row r="34">
      <c r="A34" s="3" t="inlineStr">
        <is>
          <t>E26</t>
        </is>
      </c>
      <c r="B34" s="3" t="inlineStr">
        <is>
          <t>EV charger rough-in or install</t>
        </is>
      </c>
      <c r="C34" s="3" t="inlineStr">
        <is>
          <t>N</t>
        </is>
      </c>
      <c r="D34" s="11" t="inlineStr">
        <is>
          <t>Qualified</t>
        </is>
      </c>
      <c r="E34" s="4" t="n"/>
      <c r="F34" s="10" t="inlineStr">
        <is>
          <t>Not mentioned</t>
        </is>
      </c>
      <c r="G34" s="4" t="n"/>
      <c r="H34" s="10" t="inlineStr">
        <is>
          <t>Not mentioned</t>
        </is>
      </c>
      <c r="I34" s="4" t="n"/>
    </row>
    <row r="35">
      <c r="A35" s="6" t="inlineStr">
        <is>
          <t>Lighting</t>
        </is>
      </c>
      <c r="B35" s="7" t="n"/>
      <c r="C35" s="7" t="n"/>
      <c r="D35" s="7" t="n"/>
      <c r="E35" s="7" t="n"/>
      <c r="F35" s="7" t="n"/>
      <c r="G35" s="7" t="n"/>
      <c r="H35" s="7" t="n"/>
      <c r="I35" s="7" t="n"/>
    </row>
    <row r="36">
      <c r="A36" s="3" t="inlineStr">
        <is>
          <t>E27</t>
        </is>
      </c>
      <c r="B36" s="3" t="inlineStr">
        <is>
          <t>Light fixtures furnished</t>
        </is>
      </c>
      <c r="C36" s="3" t="inlineStr">
        <is>
          <t>Y</t>
        </is>
      </c>
      <c r="D36" s="8" t="inlineStr">
        <is>
          <t>Included</t>
        </is>
      </c>
      <c r="E36" s="4" t="n"/>
      <c r="F36" s="11" t="inlineStr">
        <is>
          <t>Qualified</t>
        </is>
      </c>
      <c r="G36" s="4" t="n"/>
      <c r="H36" s="8" t="inlineStr">
        <is>
          <t>Included</t>
        </is>
      </c>
      <c r="I36" s="4" t="n"/>
    </row>
    <row r="37">
      <c r="A37" s="3" t="inlineStr">
        <is>
          <t>E28</t>
        </is>
      </c>
      <c r="B37" s="3" t="inlineStr">
        <is>
          <t>Light fixtures installed (owner-furnished or by others)</t>
        </is>
      </c>
      <c r="C37" s="3" t="inlineStr">
        <is>
          <t>Y</t>
        </is>
      </c>
      <c r="D37" s="8" t="inlineStr">
        <is>
          <t>Included</t>
        </is>
      </c>
      <c r="E37" s="4" t="n"/>
      <c r="F37" s="8" t="inlineStr">
        <is>
          <t>Included</t>
        </is>
      </c>
      <c r="G37" s="4" t="n"/>
      <c r="H37" s="8" t="inlineStr">
        <is>
          <t>Included</t>
        </is>
      </c>
      <c r="I37" s="4" t="n"/>
    </row>
    <row r="38">
      <c r="A38" s="3" t="inlineStr">
        <is>
          <t>E29</t>
        </is>
      </c>
      <c r="B38" s="3" t="inlineStr">
        <is>
          <t>Lighting controls and occupancy sensors</t>
        </is>
      </c>
      <c r="C38" s="3" t="inlineStr">
        <is>
          <t>Y</t>
        </is>
      </c>
      <c r="D38" s="8" t="inlineStr">
        <is>
          <t>Included</t>
        </is>
      </c>
      <c r="E38" s="4" t="n"/>
      <c r="F38" s="8" t="inlineStr">
        <is>
          <t>Included</t>
        </is>
      </c>
      <c r="G38" s="4" t="n"/>
      <c r="H38" s="8" t="inlineStr">
        <is>
          <t>Included</t>
        </is>
      </c>
      <c r="I38" s="4" t="n"/>
    </row>
    <row r="39">
      <c r="A39" s="3" t="inlineStr">
        <is>
          <t>E30</t>
        </is>
      </c>
      <c r="B39" s="3" t="inlineStr">
        <is>
          <t>Emergency and exit lighting</t>
        </is>
      </c>
      <c r="C39" s="3" t="inlineStr">
        <is>
          <t>Y</t>
        </is>
      </c>
      <c r="D39" s="8" t="inlineStr">
        <is>
          <t>Included</t>
        </is>
      </c>
      <c r="E39" s="4" t="n"/>
      <c r="F39" s="8" t="inlineStr">
        <is>
          <t>Included</t>
        </is>
      </c>
      <c r="G39" s="4" t="n"/>
      <c r="H39" s="8" t="inlineStr">
        <is>
          <t>Included</t>
        </is>
      </c>
      <c r="I39" s="4" t="n"/>
    </row>
    <row r="40">
      <c r="A40" s="3" t="inlineStr">
        <is>
          <t>E31</t>
        </is>
      </c>
      <c r="B40" s="3" t="inlineStr">
        <is>
          <t>Site and parking lot lighting</t>
        </is>
      </c>
      <c r="C40" s="3" t="inlineStr">
        <is>
          <t>N</t>
        </is>
      </c>
      <c r="D40" s="10" t="inlineStr">
        <is>
          <t>Not mentioned</t>
        </is>
      </c>
      <c r="E40" s="4" t="n"/>
      <c r="F40" s="10" t="inlineStr">
        <is>
          <t>Not mentioned</t>
        </is>
      </c>
      <c r="G40" s="4" t="n"/>
      <c r="H40" s="10" t="inlineStr">
        <is>
          <t>Not mentioned</t>
        </is>
      </c>
      <c r="I40" s="4" t="n"/>
    </row>
    <row r="41">
      <c r="A41" s="3" t="inlineStr">
        <is>
          <t>E32</t>
        </is>
      </c>
      <c r="B41" s="3" t="inlineStr">
        <is>
          <t>Pole bases and site light foundations</t>
        </is>
      </c>
      <c r="C41" s="3" t="inlineStr">
        <is>
          <t>N</t>
        </is>
      </c>
      <c r="D41" s="10" t="inlineStr">
        <is>
          <t>Not mentioned</t>
        </is>
      </c>
      <c r="E41" s="4" t="n"/>
      <c r="F41" s="10" t="inlineStr">
        <is>
          <t>Not mentioned</t>
        </is>
      </c>
      <c r="G41" s="4" t="n"/>
      <c r="H41" s="10" t="inlineStr">
        <is>
          <t>Not mentioned</t>
        </is>
      </c>
      <c r="I41" s="4" t="n"/>
    </row>
    <row r="42">
      <c r="A42" s="6" t="inlineStr">
        <is>
          <t>Site</t>
        </is>
      </c>
      <c r="B42" s="7" t="n"/>
      <c r="C42" s="7" t="n"/>
      <c r="D42" s="7" t="n"/>
      <c r="E42" s="7" t="n"/>
      <c r="F42" s="7" t="n"/>
      <c r="G42" s="7" t="n"/>
      <c r="H42" s="7" t="n"/>
      <c r="I42" s="7" t="n"/>
    </row>
    <row r="43">
      <c r="A43" s="3" t="inlineStr">
        <is>
          <t>E33</t>
        </is>
      </c>
      <c r="B43" s="3" t="inlineStr">
        <is>
          <t>Trenching and backfill</t>
        </is>
      </c>
      <c r="C43" s="3" t="inlineStr">
        <is>
          <t>N</t>
        </is>
      </c>
      <c r="D43" s="9" t="inlineStr">
        <is>
          <t>Excluded</t>
        </is>
      </c>
      <c r="E43" s="4" t="n"/>
      <c r="F43" s="9" t="inlineStr">
        <is>
          <t>Excluded</t>
        </is>
      </c>
      <c r="G43" s="4" t="n"/>
      <c r="H43" s="10" t="inlineStr">
        <is>
          <t>Not mentioned</t>
        </is>
      </c>
      <c r="I43" s="4" t="n"/>
    </row>
    <row r="44">
      <c r="A44" s="3" t="inlineStr">
        <is>
          <t>E34</t>
        </is>
      </c>
      <c r="B44" s="3" t="inlineStr">
        <is>
          <t>Underground conduit and duct banks</t>
        </is>
      </c>
      <c r="C44" s="3" t="inlineStr">
        <is>
          <t>N</t>
        </is>
      </c>
      <c r="D44" s="10" t="inlineStr">
        <is>
          <t>Not mentioned</t>
        </is>
      </c>
      <c r="E44" s="4" t="n"/>
      <c r="F44" s="10" t="inlineStr">
        <is>
          <t>Not mentioned</t>
        </is>
      </c>
      <c r="G44" s="4" t="n"/>
      <c r="H44" s="10" t="inlineStr">
        <is>
          <t>Not mentioned</t>
        </is>
      </c>
      <c r="I44" s="4" t="n"/>
    </row>
    <row r="45">
      <c r="A45" s="3" t="inlineStr">
        <is>
          <t>E35</t>
        </is>
      </c>
      <c r="B45" s="3" t="inlineStr">
        <is>
          <t>Concrete encasement</t>
        </is>
      </c>
      <c r="C45" s="3" t="inlineStr">
        <is>
          <t>N</t>
        </is>
      </c>
      <c r="D45" s="9" t="inlineStr">
        <is>
          <t>Excluded</t>
        </is>
      </c>
      <c r="E45" s="4" t="n"/>
      <c r="F45" s="10" t="inlineStr">
        <is>
          <t>Not mentioned</t>
        </is>
      </c>
      <c r="G45" s="4" t="n"/>
      <c r="H45" s="10" t="inlineStr">
        <is>
          <t>Not mentioned</t>
        </is>
      </c>
      <c r="I45" s="4" t="n"/>
    </row>
    <row r="46">
      <c r="A46" s="3" t="inlineStr">
        <is>
          <t>E36</t>
        </is>
      </c>
      <c r="B46" s="3" t="inlineStr">
        <is>
          <t>Saw cutting and patching</t>
        </is>
      </c>
      <c r="C46" s="3" t="inlineStr">
        <is>
          <t>Y</t>
        </is>
      </c>
      <c r="D46" s="9" t="inlineStr">
        <is>
          <t>Excluded</t>
        </is>
      </c>
      <c r="E46" s="4" t="n"/>
      <c r="F46" s="9" t="inlineStr">
        <is>
          <t>Excluded</t>
        </is>
      </c>
      <c r="G46" s="4" t="n"/>
      <c r="H46" s="9" t="inlineStr">
        <is>
          <t>Excluded</t>
        </is>
      </c>
      <c r="I46" s="4" t="n"/>
    </row>
    <row r="47">
      <c r="A47" s="3" t="inlineStr">
        <is>
          <t>E37</t>
        </is>
      </c>
      <c r="B47" s="3" t="inlineStr">
        <is>
          <t>Utility locating</t>
        </is>
      </c>
      <c r="C47" s="3" t="inlineStr">
        <is>
          <t>N</t>
        </is>
      </c>
      <c r="D47" s="10" t="inlineStr">
        <is>
          <t>Not mentioned</t>
        </is>
      </c>
      <c r="E47" s="4" t="n"/>
      <c r="F47" s="10" t="inlineStr">
        <is>
          <t>Not mentioned</t>
        </is>
      </c>
      <c r="G47" s="4" t="n"/>
      <c r="H47" s="10" t="inlineStr">
        <is>
          <t>Not mentioned</t>
        </is>
      </c>
      <c r="I47" s="4" t="n"/>
    </row>
    <row r="48">
      <c r="A48" s="6" t="inlineStr">
        <is>
          <t>Low voltage</t>
        </is>
      </c>
      <c r="B48" s="7" t="n"/>
      <c r="C48" s="7" t="n"/>
      <c r="D48" s="7" t="n"/>
      <c r="E48" s="7" t="n"/>
      <c r="F48" s="7" t="n"/>
      <c r="G48" s="7" t="n"/>
      <c r="H48" s="7" t="n"/>
      <c r="I48" s="7" t="n"/>
    </row>
    <row r="49">
      <c r="A49" s="3" t="inlineStr">
        <is>
          <t>E38</t>
        </is>
      </c>
      <c r="B49" s="3" t="inlineStr">
        <is>
          <t>Fire alarm system</t>
        </is>
      </c>
      <c r="C49" s="3" t="inlineStr">
        <is>
          <t>Y</t>
        </is>
      </c>
      <c r="D49" s="8" t="inlineStr">
        <is>
          <t>Included</t>
        </is>
      </c>
      <c r="E49" s="4" t="n"/>
      <c r="F49" s="11" t="inlineStr">
        <is>
          <t>Qualified</t>
        </is>
      </c>
      <c r="G49" s="4" t="n"/>
      <c r="H49" s="8" t="inlineStr">
        <is>
          <t>Included</t>
        </is>
      </c>
      <c r="I49" s="4" t="n"/>
    </row>
    <row r="50">
      <c r="A50" s="3" t="inlineStr">
        <is>
          <t>E39</t>
        </is>
      </c>
      <c r="B50" s="3" t="inlineStr">
        <is>
          <t>Fire alarm monitoring and permit</t>
        </is>
      </c>
      <c r="C50" s="3" t="inlineStr">
        <is>
          <t>Y</t>
        </is>
      </c>
      <c r="D50" s="10" t="inlineStr">
        <is>
          <t>Not mentioned</t>
        </is>
      </c>
      <c r="E50" s="4" t="n"/>
      <c r="F50" s="9" t="inlineStr">
        <is>
          <t>Excluded</t>
        </is>
      </c>
      <c r="G50" s="4" t="n"/>
      <c r="H50" s="11" t="inlineStr">
        <is>
          <t>Qualified</t>
        </is>
      </c>
      <c r="I50" s="4" t="n"/>
    </row>
    <row r="51">
      <c r="A51" s="3" t="inlineStr">
        <is>
          <t>E40</t>
        </is>
      </c>
      <c r="B51" s="3" t="inlineStr">
        <is>
          <t>Data and telecom cabling</t>
        </is>
      </c>
      <c r="C51" s="3" t="inlineStr">
        <is>
          <t>Y</t>
        </is>
      </c>
      <c r="D51" s="9" t="inlineStr">
        <is>
          <t>Excluded</t>
        </is>
      </c>
      <c r="E51" s="4" t="n"/>
      <c r="F51" s="9" t="inlineStr">
        <is>
          <t>Excluded</t>
        </is>
      </c>
      <c r="G51" s="4" t="n"/>
      <c r="H51" s="11" t="inlineStr">
        <is>
          <t>Qualified</t>
        </is>
      </c>
      <c r="I51" s="4" t="n"/>
    </row>
    <row r="52">
      <c r="A52" s="3" t="inlineStr">
        <is>
          <t>E41</t>
        </is>
      </c>
      <c r="B52" s="3" t="inlineStr">
        <is>
          <t>Conduit and boxes for low voltage only (rough-in)</t>
        </is>
      </c>
      <c r="C52" s="3" t="inlineStr">
        <is>
          <t>Y</t>
        </is>
      </c>
      <c r="D52" s="8" t="inlineStr">
        <is>
          <t>Included</t>
        </is>
      </c>
      <c r="E52" s="4" t="n"/>
      <c r="F52" s="10" t="inlineStr">
        <is>
          <t>Not mentioned</t>
        </is>
      </c>
      <c r="G52" s="4" t="n"/>
      <c r="H52" s="10" t="inlineStr">
        <is>
          <t>Not mentioned</t>
        </is>
      </c>
      <c r="I52" s="4" t="n"/>
    </row>
    <row r="53">
      <c r="A53" s="3" t="inlineStr">
        <is>
          <t>E42</t>
        </is>
      </c>
      <c r="B53" s="3" t="inlineStr">
        <is>
          <t>Security and access control</t>
        </is>
      </c>
      <c r="C53" s="3" t="inlineStr">
        <is>
          <t>Y</t>
        </is>
      </c>
      <c r="D53" s="9" t="inlineStr">
        <is>
          <t>Excluded</t>
        </is>
      </c>
      <c r="E53" s="4" t="n"/>
      <c r="F53" s="9" t="inlineStr">
        <is>
          <t>Excluded</t>
        </is>
      </c>
      <c r="G53" s="4" t="n"/>
      <c r="H53" s="9" t="inlineStr">
        <is>
          <t>Excluded</t>
        </is>
      </c>
      <c r="I53" s="4" t="n"/>
    </row>
    <row r="54">
      <c r="A54" s="3" t="inlineStr">
        <is>
          <t>E43</t>
        </is>
      </c>
      <c r="B54" s="3" t="inlineStr">
        <is>
          <t>Cameras (CCTV)</t>
        </is>
      </c>
      <c r="C54" s="3" t="inlineStr">
        <is>
          <t>Y</t>
        </is>
      </c>
      <c r="D54" s="9" t="inlineStr">
        <is>
          <t>Excluded</t>
        </is>
      </c>
      <c r="E54" s="4" t="n"/>
      <c r="F54" s="9" t="inlineStr">
        <is>
          <t>Excluded</t>
        </is>
      </c>
      <c r="G54" s="4" t="n"/>
      <c r="H54" s="9" t="inlineStr">
        <is>
          <t>Excluded</t>
        </is>
      </c>
      <c r="I54" s="4" t="n"/>
    </row>
    <row r="55">
      <c r="A55" s="3" t="inlineStr">
        <is>
          <t>E44</t>
        </is>
      </c>
      <c r="B55" s="3" t="inlineStr">
        <is>
          <t>Intercom / AV / paging</t>
        </is>
      </c>
      <c r="C55" s="3" t="inlineStr">
        <is>
          <t>Y</t>
        </is>
      </c>
      <c r="D55" s="10" t="inlineStr">
        <is>
          <t>Not mentioned</t>
        </is>
      </c>
      <c r="E55" s="4" t="n"/>
      <c r="F55" s="9" t="inlineStr">
        <is>
          <t>Excluded</t>
        </is>
      </c>
      <c r="G55" s="4" t="n"/>
      <c r="H55" s="10" t="inlineStr">
        <is>
          <t>Not mentioned</t>
        </is>
      </c>
      <c r="I55" s="4" t="n"/>
    </row>
    <row r="56">
      <c r="A56" s="6" t="inlineStr">
        <is>
          <t>Coordination</t>
        </is>
      </c>
      <c r="B56" s="7" t="n"/>
      <c r="C56" s="7" t="n"/>
      <c r="D56" s="7" t="n"/>
      <c r="E56" s="7" t="n"/>
      <c r="F56" s="7" t="n"/>
      <c r="G56" s="7" t="n"/>
      <c r="H56" s="7" t="n"/>
      <c r="I56" s="7" t="n"/>
    </row>
    <row r="57">
      <c r="A57" s="3" t="inlineStr">
        <is>
          <t>E45</t>
        </is>
      </c>
      <c r="B57" s="3" t="inlineStr">
        <is>
          <t>Firestopping of electrical penetrations</t>
        </is>
      </c>
      <c r="C57" s="3" t="inlineStr">
        <is>
          <t>Y</t>
        </is>
      </c>
      <c r="D57" s="9" t="inlineStr">
        <is>
          <t>Excluded</t>
        </is>
      </c>
      <c r="E57" s="4" t="n"/>
      <c r="F57" s="8" t="inlineStr">
        <is>
          <t>Included</t>
        </is>
      </c>
      <c r="G57" s="4" t="n"/>
      <c r="H57" s="8" t="inlineStr">
        <is>
          <t>Included</t>
        </is>
      </c>
      <c r="I57" s="4" t="n"/>
    </row>
    <row r="58">
      <c r="A58" s="3" t="inlineStr">
        <is>
          <t>E46</t>
        </is>
      </c>
      <c r="B58" s="3" t="inlineStr">
        <is>
          <t>Seismic bracing</t>
        </is>
      </c>
      <c r="C58" s="3" t="inlineStr">
        <is>
          <t>N</t>
        </is>
      </c>
      <c r="D58" s="9" t="inlineStr">
        <is>
          <t>Excluded</t>
        </is>
      </c>
      <c r="E58" s="4" t="n"/>
      <c r="F58" s="10" t="inlineStr">
        <is>
          <t>Not mentioned</t>
        </is>
      </c>
      <c r="G58" s="4" t="n"/>
      <c r="H58" s="10" t="inlineStr">
        <is>
          <t>Not mentioned</t>
        </is>
      </c>
      <c r="I58" s="4" t="n"/>
    </row>
    <row r="59">
      <c r="A59" s="3" t="inlineStr">
        <is>
          <t>E47</t>
        </is>
      </c>
      <c r="B59" s="3" t="inlineStr">
        <is>
          <t>Roof penetrations and flashing</t>
        </is>
      </c>
      <c r="C59" s="3" t="inlineStr">
        <is>
          <t>N</t>
        </is>
      </c>
      <c r="D59" s="9" t="inlineStr">
        <is>
          <t>Excluded</t>
        </is>
      </c>
      <c r="E59" s="4" t="n"/>
      <c r="F59" s="9" t="inlineStr">
        <is>
          <t>Excluded</t>
        </is>
      </c>
      <c r="G59" s="4" t="n"/>
      <c r="H59" s="10" t="inlineStr">
        <is>
          <t>Not mentioned</t>
        </is>
      </c>
      <c r="I59" s="4" t="n"/>
    </row>
    <row r="60">
      <c r="A60" s="3" t="inlineStr">
        <is>
          <t>E48</t>
        </is>
      </c>
      <c r="B60" s="3" t="inlineStr">
        <is>
          <t>Demolition and make-safe of existing electrical</t>
        </is>
      </c>
      <c r="C60" s="3" t="inlineStr">
        <is>
          <t>Y</t>
        </is>
      </c>
      <c r="D60" s="10" t="inlineStr">
        <is>
          <t>Not mentioned</t>
        </is>
      </c>
      <c r="E60" s="4" t="n"/>
      <c r="F60" s="10" t="inlineStr">
        <is>
          <t>Not mentioned</t>
        </is>
      </c>
      <c r="G60" s="4" t="n"/>
      <c r="H60" s="11" t="inlineStr">
        <is>
          <t>Qualified</t>
        </is>
      </c>
      <c r="I60" s="4" t="n"/>
    </row>
    <row r="61">
      <c r="A61" s="3" t="inlineStr">
        <is>
          <t>E49</t>
        </is>
      </c>
      <c r="B61" s="3" t="inlineStr">
        <is>
          <t>Painting of exposed conduit</t>
        </is>
      </c>
      <c r="C61" s="3" t="inlineStr">
        <is>
          <t>Y</t>
        </is>
      </c>
      <c r="D61" s="9" t="inlineStr">
        <is>
          <t>Excluded</t>
        </is>
      </c>
      <c r="E61" s="4" t="n"/>
      <c r="F61" s="10" t="inlineStr">
        <is>
          <t>Not mentioned</t>
        </is>
      </c>
      <c r="G61" s="4" t="n"/>
      <c r="H61" s="9" t="inlineStr">
        <is>
          <t>Excluded</t>
        </is>
      </c>
      <c r="I61" s="4" t="n"/>
    </row>
    <row r="62">
      <c r="A62" s="3" t="inlineStr">
        <is>
          <t>E50</t>
        </is>
      </c>
      <c r="B62" s="3" t="inlineStr">
        <is>
          <t>Access panels</t>
        </is>
      </c>
      <c r="C62" s="3" t="inlineStr">
        <is>
          <t>Y</t>
        </is>
      </c>
      <c r="D62" s="9" t="inlineStr">
        <is>
          <t>Excluded</t>
        </is>
      </c>
      <c r="E62" s="4" t="n"/>
      <c r="F62" s="10" t="inlineStr">
        <is>
          <t>Not mentioned</t>
        </is>
      </c>
      <c r="G62" s="4" t="n"/>
      <c r="H62" s="10" t="inlineStr">
        <is>
          <t>Not mentioned</t>
        </is>
      </c>
      <c r="I62" s="4" t="n"/>
    </row>
    <row r="63">
      <c r="A63" s="3" t="inlineStr">
        <is>
          <t>E51</t>
        </is>
      </c>
      <c r="B63" s="3" t="inlineStr">
        <is>
          <t>Testing and commissioning</t>
        </is>
      </c>
      <c r="C63" s="3" t="inlineStr">
        <is>
          <t>Y</t>
        </is>
      </c>
      <c r="D63" s="10" t="inlineStr">
        <is>
          <t>Not mentioned</t>
        </is>
      </c>
      <c r="E63" s="4" t="n"/>
      <c r="F63" s="10" t="inlineStr">
        <is>
          <t>Not mentioned</t>
        </is>
      </c>
      <c r="G63" s="4" t="n"/>
      <c r="H63" s="8" t="inlineStr">
        <is>
          <t>Included</t>
        </is>
      </c>
      <c r="I63" s="4" t="n"/>
    </row>
    <row r="64">
      <c r="A64" s="3" t="inlineStr">
        <is>
          <t>E52</t>
        </is>
      </c>
      <c r="B64" s="3" t="inlineStr">
        <is>
          <t>Arc flash study and labels</t>
        </is>
      </c>
      <c r="C64" s="3" t="inlineStr">
        <is>
          <t>Y</t>
        </is>
      </c>
      <c r="D64" s="9" t="inlineStr">
        <is>
          <t>Excluded</t>
        </is>
      </c>
      <c r="E64" s="4" t="n"/>
      <c r="F64" s="10" t="inlineStr">
        <is>
          <t>Not mentioned</t>
        </is>
      </c>
      <c r="G64" s="4" t="n"/>
      <c r="H64" s="10" t="inlineStr">
        <is>
          <t>Not mentioned</t>
        </is>
      </c>
      <c r="I64" s="4" t="n"/>
    </row>
    <row r="65">
      <c r="A65" s="3" t="inlineStr">
        <is>
          <t>E53</t>
        </is>
      </c>
      <c r="B65" s="3" t="inlineStr">
        <is>
          <t>Owner training</t>
        </is>
      </c>
      <c r="C65" s="3" t="inlineStr">
        <is>
          <t>Y</t>
        </is>
      </c>
      <c r="D65" s="10" t="inlineStr">
        <is>
          <t>Not mentioned</t>
        </is>
      </c>
      <c r="E65" s="4" t="n"/>
      <c r="F65" s="10" t="inlineStr">
        <is>
          <t>Not mentioned</t>
        </is>
      </c>
      <c r="G65" s="4" t="n"/>
      <c r="H65" s="11" t="inlineStr">
        <is>
          <t>Qualified</t>
        </is>
      </c>
      <c r="I65" s="4" t="n"/>
    </row>
    <row r="67">
      <c r="A67" s="12" t="inlineStr">
        <is>
          <t>In the quote but not on the checklist</t>
        </is>
      </c>
    </row>
    <row r="68">
      <c r="B68" s="13" t="inlineStr">
        <is>
          <t>Brightline Electric: Exclusion 16: "Any work not specifically listed above"</t>
        </is>
      </c>
    </row>
    <row r="69">
      <c r="B69" s="13" t="inlineStr">
        <is>
          <t>Keystone Power &amp; Light: Wire upsizing for voltage drop excluded</t>
        </is>
      </c>
    </row>
    <row r="70">
      <c r="B70" s="13" t="inlineStr">
        <is>
          <t>Keystone Power &amp; Light: Keyed notes not shown on electrical sheets excluded</t>
        </is>
      </c>
    </row>
    <row r="71">
      <c r="B71" s="13" t="inlineStr">
        <is>
          <t>Keystone Power &amp; Light: Mobilization billed at 10%; payment net 30</t>
        </is>
      </c>
    </row>
    <row r="72">
      <c r="B72" s="13" t="inlineStr">
        <is>
          <t>Keystone Power &amp; Light: Price includes $7,250 sales tax on materials</t>
        </is>
      </c>
    </row>
    <row r="73">
      <c r="B73" s="13" t="inlineStr">
        <is>
          <t>Summit Electrical: BUDGET PRICE - subject to review of final permit drawings</t>
        </is>
      </c>
    </row>
    <row r="74">
      <c r="B74" s="13" t="inlineStr">
        <is>
          <t>Summit Electrical: Unit price: additional data drop $185 each</t>
        </is>
      </c>
    </row>
  </sheetData>
  <dataValidations count="1">
    <dataValidation sqref="C5:C65" showDropDown="0" showInputMessage="0" showErrorMessage="0" allowBlank="0" type="list">
      <formula1>"Y,N"</formula1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2" t="inlineStr">
        <is>
          <t>Bidder</t>
        </is>
      </c>
      <c r="B1" s="2" t="inlineStr">
        <is>
          <t>Question</t>
        </is>
      </c>
    </row>
    <row r="2">
      <c r="A2" t="inlineStr">
        <is>
          <t>Brightline Electric</t>
        </is>
      </c>
      <c r="B2" s="13" t="inlineStr">
        <is>
          <t>Does your price include fire alarm monitoring setup, or is that by others?</t>
        </is>
      </c>
    </row>
    <row r="3">
      <c r="A3" t="inlineStr">
        <is>
          <t>Brightline Electric</t>
        </is>
      </c>
      <c r="B3" s="13" t="inlineStr">
        <is>
          <t>Are lifts and equipment rental included?</t>
        </is>
      </c>
    </row>
    <row r="4">
      <c r="A4" t="inlineStr">
        <is>
          <t>Brightline Electric</t>
        </is>
      </c>
      <c r="B4" s="13" t="inlineStr">
        <is>
          <t>Is testing of the new system (megger, panel testing) included?</t>
        </is>
      </c>
    </row>
    <row r="5">
      <c r="A5" t="inlineStr">
        <is>
          <t>Brightline Electric</t>
        </is>
      </c>
      <c r="B5" s="13" t="inlineStr">
        <is>
          <t>Are as-built drawings and O&amp;M manuals included at closeout?</t>
        </is>
      </c>
    </row>
    <row r="6">
      <c r="A6" t="inlineStr">
        <is>
          <t>Brightline Electric</t>
        </is>
      </c>
      <c r="B6" s="13" t="inlineStr">
        <is>
          <t>Does 'cleanup of our own debris' include haul-off, or is the dumpster by GC?</t>
        </is>
      </c>
    </row>
    <row r="7">
      <c r="A7" t="inlineStr">
        <is>
          <t>Brightline Electric</t>
        </is>
      </c>
      <c r="B7" s="13" t="inlineStr">
        <is>
          <t>Exclusion 16 says any work not listed is excluded. Can you confirm you priced everything on E0.1-E4.2?</t>
        </is>
      </c>
    </row>
    <row r="8">
      <c r="A8" t="inlineStr">
        <is>
          <t>Keystone Power &amp; Light</t>
        </is>
      </c>
      <c r="B8" s="13" t="inlineStr">
        <is>
          <t>Roughly what do you expect permit fees to be, since they're billed at cost?</t>
        </is>
      </c>
    </row>
    <row r="9">
      <c r="A9" t="inlineStr">
        <is>
          <t>Keystone Power &amp; Light</t>
        </is>
      </c>
      <c r="B9" s="13" t="inlineStr">
        <is>
          <t>Who furnishes the fire alarm panel, and is programming by a separate vendor?</t>
        </is>
      </c>
    </row>
    <row r="10">
      <c r="A10" t="inlineStr">
        <is>
          <t>Keystone Power &amp; Light</t>
        </is>
      </c>
      <c r="B10" s="13" t="inlineStr">
        <is>
          <t>If the 800A service turns out inadequate, what would an upgrade cost?</t>
        </is>
      </c>
    </row>
    <row r="11">
      <c r="A11" t="inlineStr">
        <is>
          <t>Keystone Power &amp; Light</t>
        </is>
      </c>
      <c r="B11" s="13" t="inlineStr">
        <is>
          <t>What happens to temporary power if the job runs past 10 weeks?</t>
        </is>
      </c>
    </row>
    <row r="12">
      <c r="A12" t="inlineStr">
        <is>
          <t>Keystone Power &amp; Light</t>
        </is>
      </c>
      <c r="B12" s="13" t="inlineStr">
        <is>
          <t>Are shop drawings, submittals and as-builts included?</t>
        </is>
      </c>
    </row>
    <row r="13">
      <c r="A13" t="inlineStr">
        <is>
          <t>Keystone Power &amp; Light</t>
        </is>
      </c>
      <c r="B13" s="13" t="inlineStr">
        <is>
          <t>Long feeder runs on this job may need upsized wire for voltage drop. What would that add?</t>
        </is>
      </c>
    </row>
    <row r="14">
      <c r="A14" t="inlineStr">
        <is>
          <t>Keystone Power &amp; Light</t>
        </is>
      </c>
      <c r="B14" s="13" t="inlineStr">
        <is>
          <t>Which keyed notes did you leave out as 'not shown on electrical sheets'?</t>
        </is>
      </c>
    </row>
    <row r="15">
      <c r="A15" t="inlineStr">
        <is>
          <t>Keystone Power &amp; Light</t>
        </is>
      </c>
      <c r="B15" s="13" t="inlineStr">
        <is>
          <t>What warranty do you give on your own labor and material?</t>
        </is>
      </c>
    </row>
    <row r="16">
      <c r="A16" t="inlineStr">
        <is>
          <t>Keystone Power &amp; Light</t>
        </is>
      </c>
      <c r="B16" s="13" t="inlineStr">
        <is>
          <t>Does your scope include empty conduit and boxes for low voltage?</t>
        </is>
      </c>
    </row>
    <row r="17">
      <c r="A17" t="inlineStr">
        <is>
          <t>Summit Electrical</t>
        </is>
      </c>
      <c r="B17" s="13" t="inlineStr">
        <is>
          <t>Your quote is marked as a budget price. Will you firm it up before bid day?</t>
        </is>
      </c>
    </row>
    <row r="18">
      <c r="A18" t="inlineStr">
        <is>
          <t>Summit Electrical</t>
        </is>
      </c>
      <c r="B18" s="13" t="inlineStr">
        <is>
          <t>How long is your price valid?</t>
        </is>
      </c>
    </row>
    <row r="19">
      <c r="A19" t="inlineStr">
        <is>
          <t>Summit Electrical</t>
        </is>
      </c>
      <c r="B19" s="13" t="inlineStr">
        <is>
          <t>Does your scope match the 64 data drops on the drawings?</t>
        </is>
      </c>
    </row>
    <row r="20">
      <c r="A20" t="inlineStr">
        <is>
          <t>Summit Electrical</t>
        </is>
      </c>
      <c r="B20" s="13" t="inlineStr">
        <is>
          <t>Is grounding and bonding included?</t>
        </is>
      </c>
    </row>
    <row r="21">
      <c r="A21" t="inlineStr">
        <is>
          <t>Summit Electrical</t>
        </is>
      </c>
      <c r="B21" s="13" t="inlineStr">
        <is>
          <t>Is any demolition beyond make-safe required on this job, and who carries it?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60" customWidth="1" min="3" max="3"/>
    <col width="14" customWidth="1" min="4" max="4"/>
  </cols>
  <sheetData>
    <row r="1">
      <c r="A1" s="2" t="inlineStr">
        <is>
          <t>Bidder</t>
        </is>
      </c>
      <c r="B1" s="2" t="inlineStr">
        <is>
          <t>Type</t>
        </is>
      </c>
      <c r="C1" s="2" t="inlineStr">
        <is>
          <t>Description</t>
        </is>
      </c>
      <c r="D1" s="2" t="inlineStr">
        <is>
          <t>Amount</t>
        </is>
      </c>
    </row>
    <row r="2">
      <c r="A2" t="inlineStr">
        <is>
          <t>Brightline Electric</t>
        </is>
      </c>
      <c r="B2" t="inlineStr">
        <is>
          <t>Alternate</t>
        </is>
      </c>
      <c r="C2" t="inlineStr">
        <is>
          <t>Add EV charger rough-in for 4 stalls</t>
        </is>
      </c>
      <c r="D2" s="14" t="n">
        <v>9800</v>
      </c>
    </row>
    <row r="3">
      <c r="A3" t="inlineStr">
        <is>
          <t>Keystone Power &amp; Light</t>
        </is>
      </c>
      <c r="B3" t="inlineStr">
        <is>
          <t>Allowance</t>
        </is>
      </c>
      <c r="C3" t="inlineStr">
        <is>
          <t>Light fixtures (included in lump sum)</t>
        </is>
      </c>
      <c r="D3" s="14" t="n">
        <v>38000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2026-10-19T23:04:59Z</dcterms:created>
  <dcterms:modified xmlns:dcterms="http://purl.org/dc/terms/" xmlns:xsi="http://www.w3.org/2001/XMLSchema-instance" xsi:type="dcterms:W3CDTF">2026-10-19T23:04:59Z</dcterms:modified>
</cp:coreProperties>
</file>